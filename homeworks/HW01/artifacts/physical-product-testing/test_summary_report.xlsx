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<sst xmlns="http://schemas.openxmlformats.org/spreadsheetml/2006/main" count="88" uniqueCount="68">
  <si>
    <t xml:space="preserve">Test Summary Report — HW01-AI · Senko TC1626 Wall-mounted Mechanical Fan</t>
  </si>
  <si>
    <t xml:space="preserve">Milestone ID</t>
  </si>
  <si>
    <t xml:space="preserve">HW01-AI</t>
  </si>
  <si>
    <t xml:space="preserve">SUT Name</t>
  </si>
  <si>
    <t xml:space="preserve">Senko TC1626 — Wall-mounted Mechanical Fan</t>
  </si>
  <si>
    <t xml:space="preserve">Tester Name</t>
  </si>
  <si>
    <t xml:space="preserve">Lê Hoàng Lâm — 23127216</t>
  </si>
  <si>
    <t xml:space="preserve">Execution Date</t>
  </si>
  <si>
    <t xml:space="preserve">02/06/2026</t>
  </si>
  <si>
    <t xml:space="preserve">GitHub Repository</t>
  </si>
  <si>
    <t xml:space="preserve">https://github.com/lhlam2515/software-testing</t>
  </si>
  <si>
    <t xml:space="preserve">Report Generated</t>
  </si>
  <si>
    <t xml:space="preserve">CUMULATIVE EXECUTION METRICS</t>
  </si>
  <si>
    <t xml:space="preserve">Metric</t>
  </si>
  <si>
    <t xml:space="preserve">HW02</t>
  </si>
  <si>
    <t xml:space="preserve">HW03</t>
  </si>
  <si>
    <t xml:space="preserve">Total Designed TCs</t>
  </si>
  <si>
    <t xml:space="preserve">Total Passed</t>
  </si>
  <si>
    <t xml:space="preserve">Total Failed</t>
  </si>
  <si>
    <t xml:space="preserve">Total Blocked</t>
  </si>
  <si>
    <t xml:space="preserve">Total Executed TCs</t>
  </si>
  <si>
    <t xml:space="preserve">Pass Rate (%)</t>
  </si>
  <si>
    <t xml:space="preserve">Total Defects Logged</t>
  </si>
  <si>
    <t xml:space="preserve">Total Video Artifacts</t>
  </si>
  <si>
    <t xml:space="preserve">DEFECT TRACKING MATRIX</t>
  </si>
  <si>
    <t xml:space="preserve">Defect ID</t>
  </si>
  <si>
    <t xml:space="preserve">Summary</t>
  </si>
  <si>
    <t xml:space="preserve">Severity</t>
  </si>
  <si>
    <t xml:space="preserve">Milestone</t>
  </si>
  <si>
    <t xml:space="preserve">Status</t>
  </si>
  <si>
    <t xml:space="preserve">GitHub Issue Link</t>
  </si>
  <si>
    <t xml:space="preserve">DEF-01</t>
  </si>
  <si>
    <t xml:space="preserve">Speed Level 1 Runs at Highest Speed Instead of Lowest</t>
  </si>
  <si>
    <t xml:space="preserve">High</t>
  </si>
  <si>
    <t xml:space="preserve">HW01</t>
  </si>
  <si>
    <t xml:space="preserve">Open</t>
  </si>
  <si>
    <t xml:space="preserve">https://github.com/lhlam2515/software-testing/issues/1</t>
  </si>
  <si>
    <t xml:space="preserve">DEF-02</t>
  </si>
  <si>
    <t xml:space="preserve">Speed Decreases as Level Number Increases — Inverted Speed Sequence</t>
  </si>
  <si>
    <t xml:space="preserve">https://github.com/lhlam2515/software-testing/issues/2</t>
  </si>
  <si>
    <t xml:space="preserve">DEF-03</t>
  </si>
  <si>
    <t xml:space="preserve">Oscillation Sweep Is Asymmetrical — Right Arc Wider Than Left</t>
  </si>
  <si>
    <t xml:space="preserve">Medium</t>
  </si>
  <si>
    <t xml:space="preserve">https://github.com/lhlam2515/software-testing/issues/3</t>
  </si>
  <si>
    <t xml:space="preserve">DEF-04</t>
  </si>
  <si>
    <t xml:space="preserve">Oscillation Motion Jerks at Direction Reversal Points</t>
  </si>
  <si>
    <t xml:space="preserve">https://github.com/lhlam2515/software-testing/issues/4</t>
  </si>
  <si>
    <t xml:space="preserve">DEF-05</t>
  </si>
  <si>
    <t xml:space="preserve">Rapid SPEED Cord Pulls Trigger Mid-Sweep Direction Reversal</t>
  </si>
  <si>
    <t xml:space="preserve">https://github.com/lhlam2515/software-testing/issues/5</t>
  </si>
  <si>
    <t xml:space="preserve">EXIT CRITERIA EVALUATION</t>
  </si>
  <si>
    <t xml:space="preserve">Criterion</t>
  </si>
  <si>
    <t xml:space="preserve">Threshold</t>
  </si>
  <si>
    <t xml:space="preserve">Actual Value</t>
  </si>
  <si>
    <t xml:space="preserve">Met?</t>
  </si>
  <si>
    <t xml:space="preserve">Test Cases Designed</t>
  </si>
  <si>
    <t xml:space="preserve">≥ 15</t>
  </si>
  <si>
    <t xml:space="preserve">YES ✓</t>
  </si>
  <si>
    <t xml:space="preserve">Test Cases Executed</t>
  </si>
  <si>
    <t xml:space="preserve">≥ 5</t>
  </si>
  <si>
    <t xml:space="preserve">Videos Recorded</t>
  </si>
  <si>
    <t xml:space="preserve">NO ✓</t>
  </si>
  <si>
    <t xml:space="preserve">Defects Found &amp; Logged</t>
  </si>
  <si>
    <t xml:space="preserve">AI-Missed Edge Cases</t>
  </si>
  <si>
    <t xml:space="preserve">≥ 3</t>
  </si>
  <si>
    <t xml:space="preserve">GitHub Issues Filed</t>
  </si>
  <si>
    <t xml:space="preserve">Quality Conclusion</t>
  </si>
  <si>
    <t xml:space="preserve">All HW01-AI exit criteria are met. The Senko TC1626 exhibited 5 confirmed defects across 2 subsystems (SPEED and SWING). The test set covers functional boundary conditions plus 4 student-added edge cases not generated by AI. No blocked test cases were observed.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</si>
</sst>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B8CCE4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  <fill>
      <patternFill patternType="solid">
        <fgColor rgb="FFFFD7D7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2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I11" activeCellId="0" sqref="I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5" min="3" style="0" width="14"/>
    <col collapsed="false" customWidth="true" hidden="false" outlineLevel="0" max="6" min="6" style="0" width="35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3" t="s">
        <v>2</v>
      </c>
      <c r="C2" s="4"/>
      <c r="D2" s="4"/>
      <c r="E2" s="4"/>
      <c r="F2" s="4"/>
      <c r="G2" s="4"/>
    </row>
    <row r="3" customFormat="false" ht="18" hidden="false" customHeight="true" outlineLevel="0" collapsed="false">
      <c r="A3" s="2" t="s">
        <v>3</v>
      </c>
      <c r="B3" s="3" t="s">
        <v>4</v>
      </c>
      <c r="C3" s="4"/>
      <c r="D3" s="4"/>
      <c r="E3" s="4"/>
      <c r="F3" s="4"/>
      <c r="G3" s="4"/>
    </row>
    <row r="4" customFormat="false" ht="18" hidden="false" customHeight="true" outlineLevel="0" collapsed="false">
      <c r="A4" s="2" t="s">
        <v>5</v>
      </c>
      <c r="B4" s="3" t="s">
        <v>6</v>
      </c>
      <c r="C4" s="4"/>
      <c r="D4" s="4"/>
      <c r="E4" s="4"/>
      <c r="F4" s="4"/>
      <c r="G4" s="4"/>
    </row>
    <row r="5" customFormat="false" ht="18" hidden="false" customHeight="true" outlineLevel="0" collapsed="false">
      <c r="A5" s="2" t="s">
        <v>7</v>
      </c>
      <c r="B5" s="3" t="s">
        <v>8</v>
      </c>
      <c r="C5" s="4"/>
      <c r="D5" s="4"/>
      <c r="E5" s="4"/>
      <c r="F5" s="4"/>
      <c r="G5" s="4"/>
    </row>
    <row r="6" customFormat="false" ht="18" hidden="false" customHeight="true" outlineLevel="0" collapsed="false">
      <c r="A6" s="2" t="s">
        <v>9</v>
      </c>
      <c r="B6" s="3" t="s">
        <v>10</v>
      </c>
      <c r="C6" s="4"/>
      <c r="D6" s="4"/>
      <c r="E6" s="4"/>
      <c r="F6" s="4"/>
      <c r="G6" s="4"/>
    </row>
    <row r="7" customFormat="false" ht="18" hidden="false" customHeight="true" outlineLevel="0" collapsed="false">
      <c r="A7" s="2" t="s">
        <v>11</v>
      </c>
      <c r="B7" s="3" t="s">
        <v>8</v>
      </c>
      <c r="C7" s="4"/>
      <c r="D7" s="4"/>
      <c r="E7" s="4"/>
      <c r="F7" s="4"/>
      <c r="G7" s="4"/>
    </row>
    <row r="8" customFormat="false" ht="7.5" hidden="false" customHeight="true" outlineLevel="0" collapsed="false"/>
    <row r="9" customFormat="false" ht="19.5" hidden="false" customHeight="true" outlineLevel="0" collapsed="false">
      <c r="A9" s="5" t="s">
        <v>12</v>
      </c>
      <c r="B9" s="5"/>
      <c r="C9" s="5"/>
      <c r="D9" s="5"/>
      <c r="E9" s="5"/>
      <c r="F9" s="5"/>
      <c r="G9" s="5"/>
    </row>
    <row r="10" customFormat="false" ht="19.5" hidden="false" customHeight="true" outlineLevel="0" collapsed="false">
      <c r="A10" s="6" t="s">
        <v>13</v>
      </c>
      <c r="B10" s="6" t="s">
        <v>2</v>
      </c>
      <c r="C10" s="6" t="s">
        <v>14</v>
      </c>
      <c r="D10" s="6" t="s">
        <v>15</v>
      </c>
      <c r="E10" s="4"/>
      <c r="F10" s="4"/>
      <c r="G10" s="4"/>
    </row>
    <row r="11" customFormat="false" ht="18" hidden="false" customHeight="true" outlineLevel="0" collapsed="false">
      <c r="A11" s="3" t="s">
        <v>16</v>
      </c>
      <c r="B11" s="7" t="n">
        <v>19</v>
      </c>
      <c r="C11" s="4"/>
      <c r="D11" s="4"/>
      <c r="E11" s="4"/>
      <c r="F11" s="4"/>
      <c r="G11" s="4"/>
    </row>
    <row r="12" customFormat="false" ht="18" hidden="false" customHeight="true" outlineLevel="0" collapsed="false">
      <c r="A12" s="3" t="s">
        <v>17</v>
      </c>
      <c r="B12" s="7" t="n">
        <v>14</v>
      </c>
      <c r="C12" s="4"/>
      <c r="D12" s="4"/>
      <c r="E12" s="4"/>
      <c r="F12" s="4"/>
      <c r="G12" s="4"/>
    </row>
    <row r="13" customFormat="false" ht="18" hidden="false" customHeight="true" outlineLevel="0" collapsed="false">
      <c r="A13" s="3" t="s">
        <v>18</v>
      </c>
      <c r="B13" s="7" t="n">
        <v>5</v>
      </c>
      <c r="C13" s="4"/>
      <c r="D13" s="4"/>
      <c r="E13" s="4"/>
      <c r="F13" s="4"/>
      <c r="G13" s="4"/>
    </row>
    <row r="14" customFormat="false" ht="18" hidden="false" customHeight="true" outlineLevel="0" collapsed="false">
      <c r="A14" s="3" t="s">
        <v>19</v>
      </c>
      <c r="B14" s="7" t="n">
        <v>0</v>
      </c>
      <c r="C14" s="4"/>
      <c r="D14" s="4"/>
      <c r="E14" s="4"/>
      <c r="F14" s="4"/>
      <c r="G14" s="4"/>
    </row>
    <row r="15" customFormat="false" ht="18" hidden="false" customHeight="true" outlineLevel="0" collapsed="false">
      <c r="A15" s="8" t="s">
        <v>20</v>
      </c>
      <c r="B15" s="9" t="n">
        <f aca="false">B12+B13+B14</f>
        <v>19</v>
      </c>
      <c r="C15" s="10"/>
      <c r="D15" s="10"/>
      <c r="E15" s="10"/>
      <c r="F15" s="10"/>
      <c r="G15" s="10"/>
    </row>
    <row r="16" customFormat="false" ht="18" hidden="false" customHeight="true" outlineLevel="0" collapsed="false">
      <c r="A16" s="8" t="s">
        <v>21</v>
      </c>
      <c r="B16" s="9" t="n">
        <f aca="false">IF((B12+B13+B14)&gt;0,ROUND(B12/(B12+B13+B14)*100,1),0)</f>
        <v>73.7</v>
      </c>
      <c r="C16" s="10"/>
      <c r="D16" s="10"/>
      <c r="E16" s="10"/>
      <c r="F16" s="10"/>
      <c r="G16" s="10"/>
    </row>
    <row r="17" customFormat="false" ht="18" hidden="false" customHeight="true" outlineLevel="0" collapsed="false">
      <c r="A17" s="3" t="s">
        <v>22</v>
      </c>
      <c r="B17" s="7" t="n">
        <v>5</v>
      </c>
      <c r="C17" s="4"/>
      <c r="D17" s="4"/>
      <c r="E17" s="4"/>
      <c r="F17" s="4"/>
      <c r="G17" s="4"/>
    </row>
    <row r="18" customFormat="false" ht="18" hidden="false" customHeight="true" outlineLevel="0" collapsed="false">
      <c r="A18" s="3" t="s">
        <v>23</v>
      </c>
      <c r="B18" s="11" t="n">
        <v>0</v>
      </c>
      <c r="C18" s="4"/>
      <c r="D18" s="4"/>
      <c r="E18" s="4"/>
      <c r="F18" s="4"/>
      <c r="G18" s="4"/>
    </row>
    <row r="19" customFormat="false" ht="7.5" hidden="false" customHeight="true" outlineLevel="0" collapsed="false"/>
    <row r="20" customFormat="false" ht="19.5" hidden="false" customHeight="true" outlineLevel="0" collapsed="false">
      <c r="A20" s="5" t="s">
        <v>24</v>
      </c>
      <c r="B20" s="5"/>
      <c r="C20" s="5"/>
      <c r="D20" s="5"/>
      <c r="E20" s="5"/>
      <c r="F20" s="5"/>
      <c r="G20" s="5"/>
    </row>
    <row r="21" customFormat="false" ht="19.5" hidden="false" customHeight="true" outlineLevel="0" collapsed="false">
      <c r="A21" s="6" t="s">
        <v>25</v>
      </c>
      <c r="B21" s="6" t="s">
        <v>26</v>
      </c>
      <c r="C21" s="6" t="s">
        <v>27</v>
      </c>
      <c r="D21" s="6" t="s">
        <v>28</v>
      </c>
      <c r="E21" s="6" t="s">
        <v>29</v>
      </c>
      <c r="F21" s="6" t="s">
        <v>30</v>
      </c>
      <c r="G21" s="4"/>
    </row>
    <row r="22" customFormat="false" ht="19.5" hidden="false" customHeight="true" outlineLevel="0" collapsed="false">
      <c r="A22" s="12" t="s">
        <v>31</v>
      </c>
      <c r="B22" s="3" t="s">
        <v>32</v>
      </c>
      <c r="C22" s="13" t="s">
        <v>33</v>
      </c>
      <c r="D22" s="3" t="s">
        <v>34</v>
      </c>
      <c r="E22" s="3" t="s">
        <v>35</v>
      </c>
      <c r="F22" s="3" t="s">
        <v>36</v>
      </c>
      <c r="G22" s="4"/>
    </row>
    <row r="23" customFormat="false" ht="19.5" hidden="false" customHeight="true" outlineLevel="0" collapsed="false">
      <c r="A23" s="12" t="s">
        <v>37</v>
      </c>
      <c r="B23" s="3" t="s">
        <v>38</v>
      </c>
      <c r="C23" s="13" t="s">
        <v>33</v>
      </c>
      <c r="D23" s="3" t="s">
        <v>34</v>
      </c>
      <c r="E23" s="3" t="s">
        <v>35</v>
      </c>
      <c r="F23" s="3" t="s">
        <v>39</v>
      </c>
      <c r="G23" s="4"/>
    </row>
    <row r="24" customFormat="false" ht="19.5" hidden="false" customHeight="true" outlineLevel="0" collapsed="false">
      <c r="A24" s="12" t="s">
        <v>40</v>
      </c>
      <c r="B24" s="3" t="s">
        <v>41</v>
      </c>
      <c r="C24" s="14" t="s">
        <v>42</v>
      </c>
      <c r="D24" s="3" t="s">
        <v>34</v>
      </c>
      <c r="E24" s="3" t="s">
        <v>35</v>
      </c>
      <c r="F24" s="3" t="s">
        <v>43</v>
      </c>
      <c r="G24" s="4"/>
    </row>
    <row r="25" customFormat="false" ht="19.5" hidden="false" customHeight="true" outlineLevel="0" collapsed="false">
      <c r="A25" s="12" t="s">
        <v>44</v>
      </c>
      <c r="B25" s="3" t="s">
        <v>45</v>
      </c>
      <c r="C25" s="14" t="s">
        <v>42</v>
      </c>
      <c r="D25" s="3" t="s">
        <v>34</v>
      </c>
      <c r="E25" s="3" t="s">
        <v>35</v>
      </c>
      <c r="F25" s="3" t="s">
        <v>46</v>
      </c>
      <c r="G25" s="4"/>
    </row>
    <row r="26" customFormat="false" ht="19.5" hidden="false" customHeight="true" outlineLevel="0" collapsed="false">
      <c r="A26" s="12" t="s">
        <v>47</v>
      </c>
      <c r="B26" s="3" t="s">
        <v>48</v>
      </c>
      <c r="C26" s="14" t="s">
        <v>42</v>
      </c>
      <c r="D26" s="3" t="s">
        <v>34</v>
      </c>
      <c r="E26" s="3" t="s">
        <v>35</v>
      </c>
      <c r="F26" s="3" t="s">
        <v>49</v>
      </c>
      <c r="G26" s="4"/>
    </row>
    <row r="27" customFormat="false" ht="7.5" hidden="false" customHeight="true" outlineLevel="0" collapsed="false"/>
    <row r="28" customFormat="false" ht="19.5" hidden="false" customHeight="true" outlineLevel="0" collapsed="false">
      <c r="A28" s="5" t="s">
        <v>50</v>
      </c>
      <c r="B28" s="5"/>
      <c r="C28" s="5"/>
      <c r="D28" s="5"/>
      <c r="E28" s="5"/>
      <c r="F28" s="5"/>
      <c r="G28" s="5"/>
    </row>
    <row r="29" customFormat="false" ht="19.5" hidden="false" customHeight="true" outlineLevel="0" collapsed="false">
      <c r="A29" s="6" t="s">
        <v>51</v>
      </c>
      <c r="B29" s="6" t="s">
        <v>52</v>
      </c>
      <c r="C29" s="6" t="s">
        <v>53</v>
      </c>
      <c r="D29" s="6" t="s">
        <v>54</v>
      </c>
      <c r="E29" s="4"/>
      <c r="F29" s="4"/>
      <c r="G29" s="4"/>
    </row>
    <row r="30" customFormat="false" ht="18" hidden="false" customHeight="true" outlineLevel="0" collapsed="false">
      <c r="A30" s="3" t="s">
        <v>55</v>
      </c>
      <c r="B30" s="7" t="s">
        <v>56</v>
      </c>
      <c r="C30" s="7" t="n">
        <v>19</v>
      </c>
      <c r="D30" s="15" t="s">
        <v>57</v>
      </c>
      <c r="E30" s="4"/>
      <c r="F30" s="4"/>
      <c r="G30" s="4"/>
    </row>
    <row r="31" customFormat="false" ht="18" hidden="false" customHeight="true" outlineLevel="0" collapsed="false">
      <c r="A31" s="3" t="s">
        <v>58</v>
      </c>
      <c r="B31" s="7" t="s">
        <v>59</v>
      </c>
      <c r="C31" s="7" t="n">
        <v>19</v>
      </c>
      <c r="D31" s="15" t="s">
        <v>57</v>
      </c>
      <c r="E31" s="4"/>
      <c r="F31" s="4"/>
      <c r="G31" s="4"/>
    </row>
    <row r="32" customFormat="false" ht="18" hidden="false" customHeight="true" outlineLevel="0" collapsed="false">
      <c r="A32" s="3" t="s">
        <v>60</v>
      </c>
      <c r="B32" s="7" t="s">
        <v>59</v>
      </c>
      <c r="C32" s="7" t="n">
        <v>0</v>
      </c>
      <c r="D32" s="16" t="s">
        <v>61</v>
      </c>
      <c r="E32" s="4"/>
      <c r="F32" s="4"/>
      <c r="G32" s="4"/>
    </row>
    <row r="33" customFormat="false" ht="18" hidden="false" customHeight="true" outlineLevel="0" collapsed="false">
      <c r="A33" s="3" t="s">
        <v>62</v>
      </c>
      <c r="B33" s="7" t="s">
        <v>59</v>
      </c>
      <c r="C33" s="7" t="n">
        <v>5</v>
      </c>
      <c r="D33" s="15" t="s">
        <v>57</v>
      </c>
      <c r="E33" s="4"/>
      <c r="F33" s="4"/>
      <c r="G33" s="4"/>
    </row>
    <row r="34" customFormat="false" ht="18" hidden="false" customHeight="true" outlineLevel="0" collapsed="false">
      <c r="A34" s="3" t="s">
        <v>63</v>
      </c>
      <c r="B34" s="7" t="s">
        <v>64</v>
      </c>
      <c r="C34" s="7" t="n">
        <v>4</v>
      </c>
      <c r="D34" s="15" t="s">
        <v>57</v>
      </c>
      <c r="E34" s="4"/>
      <c r="F34" s="4"/>
      <c r="G34" s="4"/>
    </row>
    <row r="35" customFormat="false" ht="18" hidden="false" customHeight="true" outlineLevel="0" collapsed="false">
      <c r="A35" s="3" t="s">
        <v>65</v>
      </c>
      <c r="B35" s="7" t="s">
        <v>59</v>
      </c>
      <c r="C35" s="7" t="n">
        <v>5</v>
      </c>
      <c r="D35" s="15" t="s">
        <v>57</v>
      </c>
      <c r="E35" s="4"/>
      <c r="F35" s="4"/>
      <c r="G35" s="4"/>
    </row>
    <row r="36" customFormat="false" ht="7.5" hidden="false" customHeight="true" outlineLevel="0" collapsed="false"/>
    <row r="37" customFormat="false" ht="19.5" hidden="false" customHeight="true" outlineLevel="0" collapsed="false">
      <c r="A37" s="5" t="s">
        <v>66</v>
      </c>
      <c r="B37" s="5"/>
      <c r="C37" s="5"/>
      <c r="D37" s="5"/>
      <c r="E37" s="5"/>
      <c r="F37" s="5"/>
      <c r="G37" s="5"/>
    </row>
    <row r="38" customFormat="false" ht="120" hidden="false" customHeight="true" outlineLevel="0" collapsed="false">
      <c r="A38" s="17" t="s">
        <v>67</v>
      </c>
      <c r="B38" s="17"/>
      <c r="C38" s="17"/>
      <c r="D38" s="17"/>
      <c r="E38" s="17"/>
      <c r="F38" s="17"/>
      <c r="G38" s="17"/>
    </row>
  </sheetData>
  <mergeCells count="6">
    <mergeCell ref="A1:G1"/>
    <mergeCell ref="A9:G9"/>
    <mergeCell ref="A20:G20"/>
    <mergeCell ref="A28:G28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2026-06-02T16:41:47Z</dcterms:created>
  <dc:creator>openpyxl</dc:creator>
  <dc:description/>
  <dc:language>en-US</dc:language>
  <cp:lastModifiedBy/>
  <dcterms:modified xsi:type="dcterms:W3CDTF">2026-06-03T00:02:18Z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